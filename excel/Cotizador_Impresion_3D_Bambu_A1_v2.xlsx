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nfiguracion" sheetId="1" state="visible" r:id="rId1"/>
    <sheet name="Cotizador" sheetId="2" state="visible" r:id="rId2"/>
    <sheet name="Histo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&quot;-&quot;"/>
    <numFmt numFmtId="165" formatCode="#,##0;(#,##0);&quot;-&quot;"/>
    <numFmt numFmtId="166" formatCode="0.0%"/>
    <numFmt numFmtId="167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b val="1"/>
      <sz val="11"/>
    </font>
    <font>
      <name val="Arial"/>
      <color rgb="000000FF"/>
      <sz val="11"/>
    </font>
    <font>
      <name val="Arial"/>
      <i val="1"/>
      <color rgb="00808080"/>
      <sz val="9"/>
    </font>
    <font>
      <name val="Arial"/>
      <color rgb="00000000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2" fontId="4" fillId="0" borderId="0" pivotButton="0" quotePrefix="0" xfId="0"/>
    <xf numFmtId="166" fontId="4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164" fontId="6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7" fillId="2" borderId="0" applyAlignment="1" pivotButton="0" quotePrefix="0" xfId="0">
      <alignment horizontal="center"/>
    </xf>
    <xf numFmtId="167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5" customWidth="1" min="3" max="3"/>
  </cols>
  <sheetData>
    <row r="1" ht="26" customHeight="1">
      <c r="A1" s="1" t="inlineStr">
        <is>
          <t>PARAMETROS DE COSTOS - IMPRESION 3D (BAMBU LAB A1)</t>
        </is>
      </c>
    </row>
    <row r="3">
      <c r="A3" s="2" t="inlineStr">
        <is>
          <t>Materiales (precio por rollo de 1 kg)</t>
        </is>
      </c>
    </row>
    <row r="4">
      <c r="A4" s="3" t="inlineStr">
        <is>
          <t>Material</t>
        </is>
      </c>
      <c r="B4" s="3" t="inlineStr">
        <is>
          <t>Precio rollo ($)</t>
        </is>
      </c>
    </row>
    <row r="5">
      <c r="A5" s="4" t="inlineStr">
        <is>
          <t>PLA Pro</t>
        </is>
      </c>
      <c r="B5" s="5" t="n">
        <v>279</v>
      </c>
      <c r="C5" s="6" t="inlineStr">
        <is>
          <t>&lt;- agrega mas materiales aqui (PETG, ABS, TPU...)</t>
        </is>
      </c>
    </row>
    <row r="6">
      <c r="A6" s="4" t="inlineStr">
        <is>
          <t>PLA Matte</t>
        </is>
      </c>
      <c r="B6" s="5" t="n">
        <v>289</v>
      </c>
    </row>
    <row r="7">
      <c r="A7" s="4" t="inlineStr"/>
      <c r="B7" s="4" t="n"/>
    </row>
    <row r="8">
      <c r="A8" s="4" t="inlineStr"/>
      <c r="B8" s="4" t="n"/>
    </row>
    <row r="10">
      <c r="A10" s="2" t="inlineStr">
        <is>
          <t>Parametros generales</t>
        </is>
      </c>
    </row>
    <row r="11">
      <c r="A11" s="7" t="inlineStr">
        <is>
          <t>Peso del rollo (g)</t>
        </is>
      </c>
      <c r="B11" s="8" t="n">
        <v>1000</v>
      </c>
    </row>
    <row r="12">
      <c r="A12" s="7" t="inlineStr">
        <is>
          <t>Costo electricidad ($/kWh)</t>
        </is>
      </c>
      <c r="B12" s="9" t="n">
        <v>2.8</v>
      </c>
    </row>
    <row r="13">
      <c r="A13" s="7" t="inlineStr">
        <is>
          <t>Consumo promedio A1 (kW)</t>
        </is>
      </c>
      <c r="B13" s="10" t="n">
        <v>0.1</v>
      </c>
    </row>
    <row r="14">
      <c r="A14" s="7" t="inlineStr">
        <is>
          <t>Desgaste impresora por hora ($)</t>
        </is>
      </c>
      <c r="B14" s="9" t="n">
        <v>6</v>
      </c>
    </row>
    <row r="15">
      <c r="A15" s="7" t="inlineStr">
        <is>
          <t>Mano de obra por hora ($)</t>
        </is>
      </c>
      <c r="B15" s="9" t="n">
        <v>180</v>
      </c>
    </row>
    <row r="16">
      <c r="A16" s="7" t="inlineStr">
        <is>
          <t>Empaque basico ($)</t>
        </is>
      </c>
      <c r="B16" s="9" t="n">
        <v>8</v>
      </c>
    </row>
    <row r="17">
      <c r="A17" s="7" t="inlineStr">
        <is>
          <t>Tasa de fallos / desperdicio (%)</t>
        </is>
      </c>
      <c r="B17" s="11" t="n">
        <v>0.05</v>
      </c>
    </row>
    <row r="18">
      <c r="A18" s="7" t="inlineStr">
        <is>
          <t>Margen de ganancia (%)</t>
        </is>
      </c>
      <c r="B18" s="11" t="n">
        <v>0.4</v>
      </c>
    </row>
    <row r="19">
      <c r="A19" s="7" t="inlineStr">
        <is>
          <t>Comision Mercado Libre (%)</t>
        </is>
      </c>
      <c r="B19" s="11" t="n">
        <v>0.16</v>
      </c>
    </row>
    <row r="20">
      <c r="A20" s="7" t="inlineStr">
        <is>
          <t>Redondeo de precio final (multiplo de $)</t>
        </is>
      </c>
      <c r="B20" s="8" t="n">
        <v>10</v>
      </c>
    </row>
  </sheetData>
  <mergeCells count="3">
    <mergeCell ref="A1:C1"/>
    <mergeCell ref="A3:B3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6" customHeight="1">
      <c r="A1" s="12" t="inlineStr">
        <is>
          <t>COTIZADOR DE IMPRESION 3D</t>
        </is>
      </c>
    </row>
    <row r="3">
      <c r="A3" s="2" t="inlineStr">
        <is>
          <t>Datos de la pieza</t>
        </is>
      </c>
    </row>
    <row r="4">
      <c r="A4" s="7" t="inlineStr">
        <is>
          <t>Nombre del modelo</t>
        </is>
      </c>
      <c r="B4" s="13" t="n"/>
    </row>
    <row r="5">
      <c r="A5" s="7" t="inlineStr">
        <is>
          <t>Material</t>
        </is>
      </c>
      <c r="B5" s="13" t="inlineStr">
        <is>
          <t>PLA Pro</t>
        </is>
      </c>
    </row>
    <row r="6">
      <c r="A6" s="7" t="inlineStr">
        <is>
          <t>Peso pieza (g)</t>
        </is>
      </c>
      <c r="B6" s="8" t="n">
        <v>50</v>
      </c>
    </row>
    <row r="7">
      <c r="A7" s="7" t="inlineStr">
        <is>
          <t>Purga AMS (g)</t>
        </is>
      </c>
      <c r="B7" s="8" t="n">
        <v>5</v>
      </c>
    </row>
    <row r="8">
      <c r="A8" s="7" t="inlineStr">
        <is>
          <t>Horas de impresion</t>
        </is>
      </c>
      <c r="B8" s="10" t="n">
        <v>3</v>
      </c>
    </row>
    <row r="9">
      <c r="A9" s="7" t="inlineStr">
        <is>
          <t>Minutos de postproceso</t>
        </is>
      </c>
      <c r="B9" s="8" t="n">
        <v>10</v>
      </c>
    </row>
    <row r="10">
      <c r="A10" s="7" t="inlineStr">
        <is>
          <t>Cantidad</t>
        </is>
      </c>
      <c r="B10" s="8" t="n">
        <v>1</v>
      </c>
    </row>
    <row r="11">
      <c r="A11" s="7" t="inlineStr">
        <is>
          <t>Plataforma de venta</t>
        </is>
      </c>
      <c r="B11" s="13" t="inlineStr">
        <is>
          <t>Venta directa</t>
        </is>
      </c>
    </row>
    <row r="13">
      <c r="A13" s="2" t="inlineStr">
        <is>
          <t>Costos unitarios</t>
        </is>
      </c>
    </row>
    <row r="14">
      <c r="A14" s="7" t="inlineStr">
        <is>
          <t>Precio rollo del material ($)</t>
        </is>
      </c>
      <c r="B14" s="14">
        <f>IFERROR(INDEX(Configuracion!$B$5:$B$8,MATCH(B5,Configuracion!$A$5:$A$8,0)),0)</f>
        <v/>
      </c>
    </row>
    <row r="15">
      <c r="A15" s="7" t="inlineStr">
        <is>
          <t>Costo material unitario</t>
        </is>
      </c>
      <c r="B15" s="14">
        <f>(B6+B7)*B14/Configuracion!$B$11</f>
        <v/>
      </c>
    </row>
    <row r="16">
      <c r="A16" s="7" t="inlineStr">
        <is>
          <t>Electricidad unitaria</t>
        </is>
      </c>
      <c r="B16" s="14">
        <f>B8*Configuracion!$B$13*Configuracion!$B$12</f>
        <v/>
      </c>
    </row>
    <row r="17">
      <c r="A17" s="7" t="inlineStr">
        <is>
          <t>Desgaste unitario</t>
        </is>
      </c>
      <c r="B17" s="14">
        <f>B8*Configuracion!$B$14</f>
        <v/>
      </c>
    </row>
    <row r="18">
      <c r="A18" s="7" t="inlineStr">
        <is>
          <t>Mano de obra unitaria</t>
        </is>
      </c>
      <c r="B18" s="14">
        <f>(B9/60)*Configuracion!$B$15</f>
        <v/>
      </c>
    </row>
    <row r="19">
      <c r="A19" s="7" t="inlineStr">
        <is>
          <t>Subtotal antes de fallos</t>
        </is>
      </c>
      <c r="B19" s="14">
        <f>SUM(B15:B18)</f>
        <v/>
      </c>
    </row>
    <row r="20">
      <c r="A20" s="7" t="inlineStr">
        <is>
          <t>Ajuste por tasa de fallos</t>
        </is>
      </c>
      <c r="B20" s="14">
        <f>B19*Configuracion!$B$17</f>
        <v/>
      </c>
    </row>
    <row r="21">
      <c r="A21" s="7" t="inlineStr">
        <is>
          <t>Empaque unitario</t>
        </is>
      </c>
      <c r="B21" s="14">
        <f>Configuracion!$B$16</f>
        <v/>
      </c>
    </row>
    <row r="22">
      <c r="A22" s="15" t="inlineStr">
        <is>
          <t>Costo total unitario</t>
        </is>
      </c>
      <c r="B22" s="16">
        <f>B19+B20+B21</f>
        <v/>
      </c>
    </row>
    <row r="24">
      <c r="A24" s="2" t="inlineStr">
        <is>
          <t>Precio de venta</t>
        </is>
      </c>
    </row>
    <row r="25">
      <c r="A25" s="7" t="inlineStr">
        <is>
          <t>Precio sugerido unitario (venta directa)</t>
        </is>
      </c>
      <c r="B25" s="14">
        <f>B22*(1+Configuracion!$B$18)</f>
        <v/>
      </c>
    </row>
    <row r="26">
      <c r="A26" s="7" t="inlineStr">
        <is>
          <t>Precio unitario en Mercado Libre</t>
        </is>
      </c>
      <c r="B26" s="14">
        <f>B25/(1-Configuracion!$B$19)</f>
        <v/>
      </c>
    </row>
    <row r="27">
      <c r="A27" s="7" t="inlineStr">
        <is>
          <t>Precio final unitario (segun plataforma)</t>
        </is>
      </c>
      <c r="B27" s="14">
        <f>IF(B11="Mercado Libre",B26,B25)</f>
        <v/>
      </c>
    </row>
    <row r="28">
      <c r="A28" s="15" t="inlineStr">
        <is>
          <t>Precio final redondeado</t>
        </is>
      </c>
      <c r="B28" s="16">
        <f>CEILING(B27,Configuracion!$B$20)</f>
        <v/>
      </c>
    </row>
    <row r="29">
      <c r="A29" s="7" t="inlineStr">
        <is>
          <t>Ganancia unitaria estimada</t>
        </is>
      </c>
      <c r="B29" s="14">
        <f>B28-B22</f>
        <v/>
      </c>
    </row>
    <row r="31">
      <c r="A31" s="2" t="inlineStr">
        <is>
          <t>Totales del pedido (x Cantidad)</t>
        </is>
      </c>
    </row>
    <row r="32">
      <c r="A32" s="7" t="inlineStr">
        <is>
          <t>Costo total del pedido</t>
        </is>
      </c>
      <c r="B32" s="14">
        <f>B22*B10</f>
        <v/>
      </c>
    </row>
    <row r="33">
      <c r="A33" s="15" t="inlineStr">
        <is>
          <t>Precio total del pedido</t>
        </is>
      </c>
      <c r="B33" s="16">
        <f>B28*B10</f>
        <v/>
      </c>
    </row>
    <row r="34">
      <c r="A34" s="15" t="inlineStr">
        <is>
          <t>Ganancia total estimada</t>
        </is>
      </c>
      <c r="B34" s="16">
        <f>B33-B32</f>
        <v/>
      </c>
    </row>
  </sheetData>
  <mergeCells count="5">
    <mergeCell ref="A24:B24"/>
    <mergeCell ref="A13:B13"/>
    <mergeCell ref="A1:B1"/>
    <mergeCell ref="A31:B31"/>
    <mergeCell ref="A3:B3"/>
  </mergeCells>
  <dataValidations count="2">
    <dataValidation sqref="B5" showDropDown="0" showInputMessage="0" showErrorMessage="0" allowBlank="1" type="list">
      <formula1>=Configuracion!$A$5:$A$8</formula1>
    </dataValidation>
    <dataValidation sqref="B11" showDropDown="0" showInputMessage="0" showErrorMessage="0" allowBlank="0" type="list">
      <formula1>"Venta directa,Mercado Libre"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7" t="inlineStr">
        <is>
          <t>Fecha</t>
        </is>
      </c>
      <c r="B1" s="17" t="inlineStr">
        <is>
          <t>Modelo</t>
        </is>
      </c>
      <c r="C1" s="17" t="inlineStr">
        <is>
          <t>Cliente</t>
        </is>
      </c>
      <c r="D1" s="17" t="inlineStr">
        <is>
          <t>Cantidad</t>
        </is>
      </c>
      <c r="E1" s="17" t="inlineStr">
        <is>
          <t>Costo</t>
        </is>
      </c>
      <c r="F1" s="17" t="inlineStr">
        <is>
          <t>Venta</t>
        </is>
      </c>
      <c r="G1" s="17" t="inlineStr">
        <is>
          <t>Ganancia</t>
        </is>
      </c>
    </row>
    <row r="2">
      <c r="A2" s="18" t="n"/>
      <c r="D2" s="19" t="n"/>
      <c r="E2" s="20" t="n"/>
      <c r="F2" s="20" t="n"/>
      <c r="G2" s="14">
        <f>IF(F2="","",F2-E2)</f>
        <v/>
      </c>
    </row>
    <row r="3">
      <c r="A3" s="18" t="n"/>
      <c r="D3" s="19" t="n"/>
      <c r="E3" s="20" t="n"/>
      <c r="F3" s="20" t="n"/>
      <c r="G3" s="14">
        <f>IF(F3="","",F3-E3)</f>
        <v/>
      </c>
    </row>
    <row r="4">
      <c r="A4" s="18" t="n"/>
      <c r="D4" s="19" t="n"/>
      <c r="E4" s="20" t="n"/>
      <c r="F4" s="20" t="n"/>
      <c r="G4" s="14">
        <f>IF(F4="","",F4-E4)</f>
        <v/>
      </c>
    </row>
    <row r="5">
      <c r="A5" s="18" t="n"/>
      <c r="D5" s="19" t="n"/>
      <c r="E5" s="20" t="n"/>
      <c r="F5" s="20" t="n"/>
      <c r="G5" s="14">
        <f>IF(F5="","",F5-E5)</f>
        <v/>
      </c>
    </row>
    <row r="6">
      <c r="A6" s="18" t="n"/>
      <c r="D6" s="19" t="n"/>
      <c r="E6" s="20" t="n"/>
      <c r="F6" s="20" t="n"/>
      <c r="G6" s="14">
        <f>IF(F6="","",F6-E6)</f>
        <v/>
      </c>
    </row>
    <row r="7">
      <c r="A7" s="18" t="n"/>
      <c r="D7" s="19" t="n"/>
      <c r="E7" s="20" t="n"/>
      <c r="F7" s="20" t="n"/>
      <c r="G7" s="14">
        <f>IF(F7="","",F7-E7)</f>
        <v/>
      </c>
    </row>
    <row r="8">
      <c r="A8" s="18" t="n"/>
      <c r="D8" s="19" t="n"/>
      <c r="E8" s="20" t="n"/>
      <c r="F8" s="20" t="n"/>
      <c r="G8" s="14">
        <f>IF(F8="","",F8-E8)</f>
        <v/>
      </c>
    </row>
    <row r="9">
      <c r="A9" s="18" t="n"/>
      <c r="D9" s="19" t="n"/>
      <c r="E9" s="20" t="n"/>
      <c r="F9" s="20" t="n"/>
      <c r="G9" s="14">
        <f>IF(F9="","",F9-E9)</f>
        <v/>
      </c>
    </row>
    <row r="10">
      <c r="A10" s="18" t="n"/>
      <c r="D10" s="19" t="n"/>
      <c r="E10" s="20" t="n"/>
      <c r="F10" s="20" t="n"/>
      <c r="G10" s="14">
        <f>IF(F10="","",F10-E10)</f>
        <v/>
      </c>
    </row>
    <row r="11">
      <c r="A11" s="18" t="n"/>
      <c r="D11" s="19" t="n"/>
      <c r="E11" s="20" t="n"/>
      <c r="F11" s="20" t="n"/>
      <c r="G11" s="14">
        <f>IF(F11="","",F11-E11)</f>
        <v/>
      </c>
    </row>
    <row r="12">
      <c r="A12" s="18" t="n"/>
      <c r="D12" s="19" t="n"/>
      <c r="E12" s="20" t="n"/>
      <c r="F12" s="20" t="n"/>
      <c r="G12" s="14">
        <f>IF(F12="","",F12-E12)</f>
        <v/>
      </c>
    </row>
    <row r="13">
      <c r="A13" s="18" t="n"/>
      <c r="D13" s="19" t="n"/>
      <c r="E13" s="20" t="n"/>
      <c r="F13" s="20" t="n"/>
      <c r="G13" s="14">
        <f>IF(F13="","",F13-E13)</f>
        <v/>
      </c>
    </row>
    <row r="14">
      <c r="A14" s="18" t="n"/>
      <c r="D14" s="19" t="n"/>
      <c r="E14" s="20" t="n"/>
      <c r="F14" s="20" t="n"/>
      <c r="G14" s="14">
        <f>IF(F14="","",F14-E14)</f>
        <v/>
      </c>
    </row>
    <row r="15">
      <c r="A15" s="18" t="n"/>
      <c r="D15" s="19" t="n"/>
      <c r="E15" s="20" t="n"/>
      <c r="F15" s="20" t="n"/>
      <c r="G15" s="14">
        <f>IF(F15="","",F15-E15)</f>
        <v/>
      </c>
    </row>
    <row r="16">
      <c r="A16" s="18" t="n"/>
      <c r="D16" s="19" t="n"/>
      <c r="E16" s="20" t="n"/>
      <c r="F16" s="20" t="n"/>
      <c r="G16" s="14">
        <f>IF(F16="","",F16-E16)</f>
        <v/>
      </c>
    </row>
    <row r="17">
      <c r="A17" s="18" t="n"/>
      <c r="D17" s="19" t="n"/>
      <c r="E17" s="20" t="n"/>
      <c r="F17" s="20" t="n"/>
      <c r="G17" s="14">
        <f>IF(F17="","",F17-E17)</f>
        <v/>
      </c>
    </row>
    <row r="18">
      <c r="A18" s="18" t="n"/>
      <c r="D18" s="19" t="n"/>
      <c r="E18" s="20" t="n"/>
      <c r="F18" s="20" t="n"/>
      <c r="G18" s="14">
        <f>IF(F18="","",F18-E18)</f>
        <v/>
      </c>
    </row>
    <row r="19">
      <c r="A19" s="18" t="n"/>
      <c r="D19" s="19" t="n"/>
      <c r="E19" s="20" t="n"/>
      <c r="F19" s="20" t="n"/>
      <c r="G19" s="14">
        <f>IF(F19="","",F19-E19)</f>
        <v/>
      </c>
    </row>
    <row r="20">
      <c r="A20" s="18" t="n"/>
      <c r="D20" s="19" t="n"/>
      <c r="E20" s="20" t="n"/>
      <c r="F20" s="20" t="n"/>
      <c r="G20" s="14">
        <f>IF(F20="","",F20-E20)</f>
        <v/>
      </c>
    </row>
    <row r="21">
      <c r="A21" s="18" t="n"/>
      <c r="D21" s="19" t="n"/>
      <c r="E21" s="20" t="n"/>
      <c r="F21" s="20" t="n"/>
      <c r="G21" s="14">
        <f>IF(F21="","",F21-E21)</f>
        <v/>
      </c>
    </row>
    <row r="22">
      <c r="A22" s="18" t="n"/>
      <c r="D22" s="19" t="n"/>
      <c r="E22" s="20" t="n"/>
      <c r="F22" s="20" t="n"/>
      <c r="G22" s="14">
        <f>IF(F22="","",F22-E22)</f>
        <v/>
      </c>
    </row>
    <row r="23">
      <c r="A23" s="18" t="n"/>
      <c r="D23" s="19" t="n"/>
      <c r="E23" s="20" t="n"/>
      <c r="F23" s="20" t="n"/>
      <c r="G23" s="14">
        <f>IF(F23="","",F23-E23)</f>
        <v/>
      </c>
    </row>
    <row r="24">
      <c r="A24" s="18" t="n"/>
      <c r="D24" s="19" t="n"/>
      <c r="E24" s="20" t="n"/>
      <c r="F24" s="20" t="n"/>
      <c r="G24" s="14">
        <f>IF(F24="","",F24-E24)</f>
        <v/>
      </c>
    </row>
    <row r="25">
      <c r="A25" s="18" t="n"/>
      <c r="D25" s="19" t="n"/>
      <c r="E25" s="20" t="n"/>
      <c r="F25" s="20" t="n"/>
      <c r="G25" s="14">
        <f>IF(F25="","",F25-E25)</f>
        <v/>
      </c>
    </row>
    <row r="26">
      <c r="A26" s="18" t="n"/>
      <c r="D26" s="19" t="n"/>
      <c r="E26" s="20" t="n"/>
      <c r="F26" s="20" t="n"/>
      <c r="G26" s="14">
        <f>IF(F26="","",F26-E26)</f>
        <v/>
      </c>
    </row>
    <row r="27">
      <c r="A27" s="18" t="n"/>
      <c r="D27" s="19" t="n"/>
      <c r="E27" s="20" t="n"/>
      <c r="F27" s="20" t="n"/>
      <c r="G27" s="14">
        <f>IF(F27="","",F27-E27)</f>
        <v/>
      </c>
    </row>
    <row r="28">
      <c r="A28" s="18" t="n"/>
      <c r="D28" s="19" t="n"/>
      <c r="E28" s="20" t="n"/>
      <c r="F28" s="20" t="n"/>
      <c r="G28" s="14">
        <f>IF(F28="","",F28-E28)</f>
        <v/>
      </c>
    </row>
    <row r="29">
      <c r="A29" s="18" t="n"/>
      <c r="D29" s="19" t="n"/>
      <c r="E29" s="20" t="n"/>
      <c r="F29" s="20" t="n"/>
      <c r="G29" s="14">
        <f>IF(F29="","",F29-E29)</f>
        <v/>
      </c>
    </row>
    <row r="30">
      <c r="A30" s="18" t="n"/>
      <c r="D30" s="19" t="n"/>
      <c r="E30" s="20" t="n"/>
      <c r="F30" s="20" t="n"/>
      <c r="G30" s="14">
        <f>IF(F30="","",F30-E30)</f>
        <v/>
      </c>
    </row>
    <row r="31">
      <c r="A31" s="18" t="n"/>
      <c r="D31" s="19" t="n"/>
      <c r="E31" s="20" t="n"/>
      <c r="F31" s="20" t="n"/>
      <c r="G31" s="14">
        <f>IF(F31="","",F31-E31)</f>
        <v/>
      </c>
    </row>
    <row r="32">
      <c r="A32" s="18" t="n"/>
      <c r="D32" s="19" t="n"/>
      <c r="E32" s="20" t="n"/>
      <c r="F32" s="20" t="n"/>
      <c r="G32" s="14">
        <f>IF(F32="","",F32-E32)</f>
        <v/>
      </c>
    </row>
    <row r="33">
      <c r="A33" s="18" t="n"/>
      <c r="D33" s="19" t="n"/>
      <c r="E33" s="20" t="n"/>
      <c r="F33" s="20" t="n"/>
      <c r="G33" s="14">
        <f>IF(F33="","",F33-E33)</f>
        <v/>
      </c>
    </row>
    <row r="34">
      <c r="A34" s="18" t="n"/>
      <c r="D34" s="19" t="n"/>
      <c r="E34" s="20" t="n"/>
      <c r="F34" s="20" t="n"/>
      <c r="G34" s="14">
        <f>IF(F34="","",F34-E34)</f>
        <v/>
      </c>
    </row>
    <row r="35">
      <c r="A35" s="18" t="n"/>
      <c r="D35" s="19" t="n"/>
      <c r="E35" s="20" t="n"/>
      <c r="F35" s="20" t="n"/>
      <c r="G35" s="14">
        <f>IF(F35="","",F35-E35)</f>
        <v/>
      </c>
    </row>
    <row r="36">
      <c r="A36" s="18" t="n"/>
      <c r="D36" s="19" t="n"/>
      <c r="E36" s="20" t="n"/>
      <c r="F36" s="20" t="n"/>
      <c r="G36" s="14">
        <f>IF(F36="","",F36-E36)</f>
        <v/>
      </c>
    </row>
    <row r="37">
      <c r="A37" s="18" t="n"/>
      <c r="D37" s="19" t="n"/>
      <c r="E37" s="20" t="n"/>
      <c r="F37" s="20" t="n"/>
      <c r="G37" s="14">
        <f>IF(F37="","",F37-E37)</f>
        <v/>
      </c>
    </row>
    <row r="38">
      <c r="A38" s="18" t="n"/>
      <c r="D38" s="19" t="n"/>
      <c r="E38" s="20" t="n"/>
      <c r="F38" s="20" t="n"/>
      <c r="G38" s="14">
        <f>IF(F38="","",F38-E38)</f>
        <v/>
      </c>
    </row>
    <row r="39">
      <c r="A39" s="18" t="n"/>
      <c r="D39" s="19" t="n"/>
      <c r="E39" s="20" t="n"/>
      <c r="F39" s="20" t="n"/>
      <c r="G39" s="14">
        <f>IF(F39="","",F39-E39)</f>
        <v/>
      </c>
    </row>
    <row r="40">
      <c r="A40" s="18" t="n"/>
      <c r="D40" s="19" t="n"/>
      <c r="E40" s="20" t="n"/>
      <c r="F40" s="20" t="n"/>
      <c r="G40" s="14">
        <f>IF(F40="","",F40-E40)</f>
        <v/>
      </c>
    </row>
    <row r="41">
      <c r="A41" s="18" t="n"/>
      <c r="D41" s="19" t="n"/>
      <c r="E41" s="20" t="n"/>
      <c r="F41" s="20" t="n"/>
      <c r="G41" s="14">
        <f>IF(F41="","",F41-E41)</f>
        <v/>
      </c>
    </row>
    <row r="42">
      <c r="A42" s="18" t="n"/>
      <c r="D42" s="19" t="n"/>
      <c r="E42" s="20" t="n"/>
      <c r="F42" s="20" t="n"/>
      <c r="G42" s="14">
        <f>IF(F42="","",F42-E42)</f>
        <v/>
      </c>
    </row>
    <row r="43">
      <c r="A43" s="18" t="n"/>
      <c r="D43" s="19" t="n"/>
      <c r="E43" s="20" t="n"/>
      <c r="F43" s="20" t="n"/>
      <c r="G43" s="14">
        <f>IF(F43="","",F43-E43)</f>
        <v/>
      </c>
    </row>
    <row r="44">
      <c r="A44" s="18" t="n"/>
      <c r="D44" s="19" t="n"/>
      <c r="E44" s="20" t="n"/>
      <c r="F44" s="20" t="n"/>
      <c r="G44" s="14">
        <f>IF(F44="","",F44-E44)</f>
        <v/>
      </c>
    </row>
    <row r="45">
      <c r="A45" s="18" t="n"/>
      <c r="D45" s="19" t="n"/>
      <c r="E45" s="20" t="n"/>
      <c r="F45" s="20" t="n"/>
      <c r="G45" s="14">
        <f>IF(F45="","",F45-E45)</f>
        <v/>
      </c>
    </row>
    <row r="46">
      <c r="A46" s="18" t="n"/>
      <c r="D46" s="19" t="n"/>
      <c r="E46" s="20" t="n"/>
      <c r="F46" s="20" t="n"/>
      <c r="G46" s="14">
        <f>IF(F46="","",F46-E46)</f>
        <v/>
      </c>
    </row>
    <row r="47">
      <c r="A47" s="18" t="n"/>
      <c r="D47" s="19" t="n"/>
      <c r="E47" s="20" t="n"/>
      <c r="F47" s="20" t="n"/>
      <c r="G47" s="14">
        <f>IF(F47="","",F47-E47)</f>
        <v/>
      </c>
    </row>
    <row r="48">
      <c r="A48" s="18" t="n"/>
      <c r="D48" s="19" t="n"/>
      <c r="E48" s="20" t="n"/>
      <c r="F48" s="20" t="n"/>
      <c r="G48" s="14">
        <f>IF(F48="","",F48-E48)</f>
        <v/>
      </c>
    </row>
    <row r="49">
      <c r="A49" s="18" t="n"/>
      <c r="D49" s="19" t="n"/>
      <c r="E49" s="20" t="n"/>
      <c r="F49" s="20" t="n"/>
      <c r="G49" s="14">
        <f>IF(F49="","",F49-E49)</f>
        <v/>
      </c>
    </row>
    <row r="50">
      <c r="A50" s="18" t="n"/>
      <c r="D50" s="19" t="n"/>
      <c r="E50" s="20" t="n"/>
      <c r="F50" s="20" t="n"/>
      <c r="G50" s="14">
        <f>IF(F50="","",F50-E50)</f>
        <v/>
      </c>
    </row>
    <row r="51">
      <c r="A51" s="18" t="n"/>
      <c r="D51" s="19" t="n"/>
      <c r="E51" s="20" t="n"/>
      <c r="F51" s="20" t="n"/>
      <c r="G51" s="14">
        <f>IF(F51="","",F51-E51)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2026-07-09T04:57:49Z</dcterms:created>
  <dcterms:modified xsi:type="dcterms:W3CDTF">2026-07-09T04:57:49Z</dcterms:modified>
</cp:coreProperties>
</file>